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Bot Comparison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sz val="9"/>
    </font>
    <font>
      <name val="Arial"/>
      <b val="1"/>
      <color rgb="FF555555"/>
      <sz val="9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0" fontId="6" fillId="0" borderId="0" pivotButton="0" quotePrefix="0" xfId="0"/>
    <xf numFmtId="0" fontId="3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left" vertical="top" wrapText="1"/>
    </xf>
    <xf numFmtId="0" fontId="3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164" fontId="4" fillId="0" borderId="0" pivotButton="0" quotePrefix="0" xfId="0"/>
    <xf numFmtId="10" fontId="5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8" defaultRowHeight="14.5"/>
  <cols>
    <col width="30" customWidth="1" style="21" min="1" max="1"/>
    <col width="28" customWidth="1" style="21" min="2" max="5"/>
    <col width="16" customWidth="1" style="21" min="6" max="6"/>
  </cols>
  <sheetData>
    <row r="1" ht="18" customHeight="1" s="21">
      <c r="A1" s="22" t="inlineStr">
        <is>
          <t>XAUUSD Bot Portfolio - Backtest Comparison</t>
        </is>
      </c>
    </row>
    <row r="2">
      <c r="A2" s="20" t="inlineStr">
        <is>
          <t>Backtest period: 2024.01.01 - 2026.09.09 (982 days) - Real MT5 Strategy Tester, fixed lot 0.01, Model=Open prices (Model=1)</t>
        </is>
      </c>
    </row>
    <row r="4">
      <c r="A4" s="1" t="inlineStr">
        <is>
          <t>Metric</t>
        </is>
      </c>
      <c r="B4" s="1" t="inlineStr">
        <is>
          <t>RegimeBot (H1)</t>
        </is>
      </c>
      <c r="C4" s="1" t="inlineStr">
        <is>
          <t>H1 Ratchet</t>
        </is>
      </c>
      <c r="D4" s="1" t="inlineStr">
        <is>
          <t>M30 Ratchet</t>
        </is>
      </c>
      <c r="E4" s="1" t="inlineStr">
        <is>
          <t>M15 Scalper</t>
        </is>
      </c>
      <c r="F4" s="1" t="inlineStr">
        <is>
          <t>M5 Scalper</t>
        </is>
      </c>
      <c r="G4" s="13" t="inlineStr">
        <is>
          <t>EMA/BB Cross (M5)</t>
        </is>
      </c>
      <c r="H4" t="inlineStr">
        <is>
          <t>BB (6TF, EMA-chase)</t>
        </is>
      </c>
    </row>
    <row r="5">
      <c r="A5" s="2" t="inlineStr">
        <is>
          <t>Total Net Profit ($)</t>
        </is>
      </c>
      <c r="B5" s="3" t="n">
        <v>2744.24</v>
      </c>
      <c r="C5" s="3" t="n">
        <v>1689.42</v>
      </c>
      <c r="D5" s="3" t="n">
        <v>3015.39</v>
      </c>
      <c r="E5" s="3" t="n">
        <v>5035.78</v>
      </c>
      <c r="F5" s="3" t="n">
        <v>1647.24</v>
      </c>
      <c r="G5" s="14" t="n">
        <v>1175</v>
      </c>
      <c r="H5" s="14" t="n">
        <v>3546.33</v>
      </c>
    </row>
    <row r="6">
      <c r="A6" s="2" t="inlineStr">
        <is>
          <t>Profit Factor</t>
        </is>
      </c>
      <c r="B6" s="4" t="n">
        <v>1.41</v>
      </c>
      <c r="C6" s="4" t="n">
        <v>1.25</v>
      </c>
      <c r="D6" s="4" t="n">
        <v>1.24</v>
      </c>
      <c r="E6" s="4" t="n">
        <v>1.36</v>
      </c>
      <c r="F6" s="4" t="n">
        <v>2.17</v>
      </c>
      <c r="G6" s="15" t="n">
        <v>1.2215</v>
      </c>
      <c r="H6" s="15" t="n">
        <v>1.27</v>
      </c>
    </row>
    <row r="7">
      <c r="A7" s="2" t="inlineStr">
        <is>
          <t>Total Trades</t>
        </is>
      </c>
      <c r="B7" s="5" t="n">
        <v>560</v>
      </c>
      <c r="C7" s="5" t="n">
        <v>629</v>
      </c>
      <c r="D7" s="5" t="n">
        <v>1282</v>
      </c>
      <c r="E7" s="5" t="n">
        <v>1602</v>
      </c>
      <c r="F7" s="5" t="n">
        <v>373</v>
      </c>
      <c r="G7" s="16" t="n">
        <v>1781</v>
      </c>
      <c r="H7" s="16" t="n">
        <v>3068</v>
      </c>
    </row>
    <row r="8">
      <c r="A8" s="2" t="inlineStr">
        <is>
          <t>Win Rate (%)</t>
        </is>
      </c>
      <c r="B8" s="6" t="n">
        <v>0.4625</v>
      </c>
      <c r="C8" s="6" t="n">
        <v>0.5659999999999999</v>
      </c>
      <c r="D8" s="6" t="n">
        <v>0.5101</v>
      </c>
      <c r="E8" s="6" t="n">
        <v>0.2672</v>
      </c>
      <c r="F8" s="6" t="n">
        <v>0.6783</v>
      </c>
      <c r="G8" s="17" t="n">
        <v>0.4043</v>
      </c>
      <c r="H8" s="17" t="n">
        <v>0.675</v>
      </c>
    </row>
    <row r="9">
      <c r="A9" s="2" t="inlineStr">
        <is>
          <t>Loss Rate (%)</t>
        </is>
      </c>
      <c r="B9" s="6">
        <f>1-B8</f>
        <v/>
      </c>
      <c r="C9" s="6">
        <f>1-C8</f>
        <v/>
      </c>
      <c r="D9" s="6">
        <f>1-D8</f>
        <v/>
      </c>
      <c r="E9" s="6">
        <f>1-E8</f>
        <v/>
      </c>
      <c r="F9" s="6">
        <f>1-F8</f>
        <v/>
      </c>
      <c r="G9" s="17">
        <f>1-G8</f>
        <v/>
      </c>
      <c r="H9" s="17">
        <f>1-H8</f>
        <v/>
      </c>
    </row>
    <row r="10">
      <c r="A10" s="2" t="inlineStr">
        <is>
          <t>Average Win ($)</t>
        </is>
      </c>
      <c r="B10" s="3" t="n">
        <v>36.58</v>
      </c>
      <c r="C10" s="3" t="n">
        <v>23.99</v>
      </c>
      <c r="D10" s="3" t="n">
        <v>23.88</v>
      </c>
      <c r="E10" s="3" t="n">
        <v>44.84</v>
      </c>
      <c r="F10" s="3" t="n">
        <v>12.07</v>
      </c>
      <c r="G10" s="14" t="n">
        <v>9</v>
      </c>
      <c r="H10" s="14" t="n">
        <v>8.08</v>
      </c>
    </row>
    <row r="11">
      <c r="A11" s="2" t="inlineStr">
        <is>
          <t>Average Loss ($)</t>
        </is>
      </c>
      <c r="B11" s="3" t="n">
        <v>-22.36</v>
      </c>
      <c r="C11" s="3" t="n">
        <v>-25.1</v>
      </c>
      <c r="D11" s="3" t="n">
        <v>-20.07</v>
      </c>
      <c r="E11" s="3" t="n">
        <v>-12.06</v>
      </c>
      <c r="F11" s="3" t="n">
        <v>-11.71</v>
      </c>
      <c r="G11" s="14" t="n">
        <v>-5</v>
      </c>
      <c r="H11" s="14" t="n">
        <v>-13.24</v>
      </c>
    </row>
    <row r="12">
      <c r="A12" s="7" t="inlineStr">
        <is>
          <t>Expectancy per Trade ($)</t>
        </is>
      </c>
      <c r="B12" s="8">
        <f>B8*B10+B9*B11</f>
        <v/>
      </c>
      <c r="C12" s="8">
        <f>C8*C10+C9*C11</f>
        <v/>
      </c>
      <c r="D12" s="8">
        <f>D8*D10+D9*D11</f>
        <v/>
      </c>
      <c r="E12" s="8">
        <f>E8*E10+E9*E11</f>
        <v/>
      </c>
      <c r="F12" s="8">
        <f>F8*F10+F9*F11</f>
        <v/>
      </c>
      <c r="G12" s="18">
        <f>G8*G10+G9*G11</f>
        <v/>
      </c>
      <c r="H12" s="18">
        <f>H8*H10+H9*H11</f>
        <v/>
      </c>
    </row>
    <row r="13">
      <c r="A13" s="2" t="inlineStr">
        <is>
          <t>Balance Drawdown Max ($)</t>
        </is>
      </c>
      <c r="B13" s="3" t="n">
        <v>317.8</v>
      </c>
      <c r="C13" s="3" t="n">
        <v>327.04</v>
      </c>
      <c r="D13" s="3" t="n">
        <v>521.33</v>
      </c>
      <c r="E13" s="3" t="n">
        <v>549.1</v>
      </c>
      <c r="F13" s="3" t="n">
        <v>105.92</v>
      </c>
      <c r="G13" s="14" t="n">
        <v>132</v>
      </c>
      <c r="H13" s="14" t="n">
        <v>1857.52</v>
      </c>
    </row>
    <row r="14">
      <c r="A14" s="2" t="inlineStr">
        <is>
          <t>Balance Drawdown Max (%)</t>
        </is>
      </c>
      <c r="B14" s="9" t="n">
        <v>0.0295</v>
      </c>
      <c r="C14" s="9" t="n">
        <v>0.0298</v>
      </c>
      <c r="D14" s="9" t="n">
        <v>0.0466</v>
      </c>
      <c r="E14" s="9" t="n">
        <v>0.0388</v>
      </c>
      <c r="F14" s="9" t="n">
        <v>0.0101</v>
      </c>
      <c r="G14" s="19" t="n">
        <v>0.0118</v>
      </c>
      <c r="H14" s="19" t="n">
        <v>0.1649</v>
      </c>
    </row>
    <row r="15">
      <c r="A15" s="2" t="inlineStr">
        <is>
          <t>Equity (Floating) Drawdown Max ($)</t>
        </is>
      </c>
      <c r="B15" s="3" t="n">
        <v>390.38</v>
      </c>
      <c r="C15" s="3" t="n">
        <v>367.97</v>
      </c>
      <c r="D15" s="3" t="n">
        <v>537.08</v>
      </c>
      <c r="E15" s="3" t="n">
        <v>581.59</v>
      </c>
      <c r="F15" s="3" t="n">
        <v>117.73</v>
      </c>
      <c r="G15" s="14" t="n">
        <v>132</v>
      </c>
      <c r="H15" s="14" t="n">
        <v>2523.99</v>
      </c>
    </row>
    <row r="16">
      <c r="A16" s="2" t="inlineStr">
        <is>
          <t>Equity (Floating) Drawdown Max (%)</t>
        </is>
      </c>
      <c r="B16" s="9" t="n">
        <v>0.0323</v>
      </c>
      <c r="C16" s="9" t="n">
        <v>0.0335</v>
      </c>
      <c r="D16" s="9" t="n">
        <v>0.048</v>
      </c>
      <c r="E16" s="9" t="n">
        <v>0.0579</v>
      </c>
      <c r="F16" s="9" t="n">
        <v>0.0106</v>
      </c>
      <c r="G16" s="19" t="n">
        <v>0.0118</v>
      </c>
      <c r="H16" s="19" t="n">
        <v>0.224</v>
      </c>
    </row>
    <row r="17">
      <c r="A17" s="2" t="inlineStr">
        <is>
          <t>Backtest Days</t>
        </is>
      </c>
      <c r="B17" s="5" t="n">
        <v>982</v>
      </c>
      <c r="C17" s="5" t="n">
        <v>982</v>
      </c>
      <c r="D17" s="5" t="n">
        <v>982</v>
      </c>
      <c r="E17" s="5" t="n">
        <v>982</v>
      </c>
      <c r="F17" s="5" t="n">
        <v>982</v>
      </c>
      <c r="G17" s="16" t="n">
        <v>982</v>
      </c>
      <c r="H17" s="16" t="n">
        <v>984</v>
      </c>
    </row>
    <row r="18">
      <c r="A18" s="7" t="inlineStr">
        <is>
          <t>Avg $/Day</t>
        </is>
      </c>
      <c r="B18" s="8">
        <f>B5/B17</f>
        <v/>
      </c>
      <c r="C18" s="8">
        <f>C5/C17</f>
        <v/>
      </c>
      <c r="D18" s="8">
        <f>D5/D17</f>
        <v/>
      </c>
      <c r="E18" s="8">
        <f>E5/E17</f>
        <v/>
      </c>
      <c r="F18" s="8">
        <f>F5/F17</f>
        <v/>
      </c>
      <c r="G18" s="18">
        <f>G5/G17</f>
        <v/>
      </c>
      <c r="H18" s="18">
        <f>H5/H17</f>
        <v/>
      </c>
    </row>
    <row r="19">
      <c r="A19" s="2" t="inlineStr">
        <is>
          <t>Avg Trades/Day</t>
        </is>
      </c>
      <c r="B19" s="4">
        <f>B7/B17</f>
        <v/>
      </c>
      <c r="C19" s="4">
        <f>C7/C17</f>
        <v/>
      </c>
      <c r="D19" s="4">
        <f>D7/D17</f>
        <v/>
      </c>
      <c r="E19" s="4">
        <f>E7/E17</f>
        <v/>
      </c>
      <c r="F19" s="4">
        <f>F7/F17</f>
        <v/>
      </c>
      <c r="G19" s="15">
        <f>G7/G17</f>
        <v/>
      </c>
      <c r="H19" s="15">
        <f>H7/H17</f>
        <v/>
      </c>
    </row>
    <row r="22" ht="15.5" customHeight="1" s="21">
      <c r="A22" s="10" t="inlineStr">
        <is>
          <t>Best (Default) Config per Bot</t>
        </is>
      </c>
    </row>
    <row r="23">
      <c r="A23" s="11" t="inlineStr">
        <is>
          <t>RegimeBot (H1)</t>
        </is>
      </c>
      <c r="B23" s="11" t="inlineStr">
        <is>
          <t>H1 Ratchet</t>
        </is>
      </c>
      <c r="C23" s="11" t="inlineStr">
        <is>
          <t>M30 Ratchet</t>
        </is>
      </c>
      <c r="D23" s="11" t="inlineStr">
        <is>
          <t>M15 Scalper</t>
        </is>
      </c>
      <c r="E23" s="11" t="inlineStr">
        <is>
          <t>M5 Scalper</t>
        </is>
      </c>
      <c r="G23" t="inlineStr">
        <is>
          <t>EMA/BB Cross (M5)</t>
        </is>
      </c>
      <c r="H23" t="inlineStr">
        <is>
          <t>BB (6TF, EMA-chase)</t>
        </is>
      </c>
    </row>
    <row r="24" ht="23" customHeight="1" s="21">
      <c r="A24" s="12" t="inlineStr">
        <is>
          <t>ADX Trend/Range thresh: 24 / 14</t>
        </is>
      </c>
      <c r="B24" s="12" t="inlineStr">
        <is>
          <t>SL 25 / ratchet-trailing TP (fib, min dist 20)</t>
        </is>
      </c>
      <c r="C24" s="12" t="inlineStr">
        <is>
          <t>Same engine/file as H1 Ratchet, M30 timeframe slot</t>
        </is>
      </c>
      <c r="D24" s="12" t="inlineStr">
        <is>
          <t>SL 12 / TP 45 fixed</t>
        </is>
      </c>
      <c r="E24" s="12" t="inlineStr">
        <is>
          <t>No-SL on the 1st trade of the day; TP 15 fixed</t>
        </is>
      </c>
      <c r="G24" t="inlineStr">
        <is>
          <t>EMA(20) crosses BB(20,2.0) mid -&gt; instant market buy/sell, SL 5 / TP 9 (real price distance, broker-independent)</t>
        </is>
      </c>
      <c r="H24" t="inlineStr">
        <is>
          <t>BB(20,2.0) x6 TF: M1/M5/M15/M30/H1 (H4 orig off)</t>
        </is>
      </c>
    </row>
    <row r="25" ht="34.5" customHeight="1" s="21">
      <c r="A25" s="12" t="inlineStr">
        <is>
          <t>Momentum buy/sell thresh: 1.5 / 2.0</t>
        </is>
      </c>
      <c r="B25" s="12" t="inlineStr">
        <is>
          <t>Trailing: start 25, lock 10, gap-trigger 3, SL/TP step 1.5/1.0</t>
        </is>
      </c>
      <c r="C25" s="12" t="inlineStr">
        <is>
          <t>SL 20, ADX floor 20 (own values; shares MA50/Vol/hour/max-signal settings above)</t>
        </is>
      </c>
      <c r="D25" s="12" t="inlineStr">
        <is>
          <t>MA50-Daily filter: ON</t>
        </is>
      </c>
      <c r="E25" s="12" t="inlineStr">
        <is>
          <t>Hard-close after 4 hours if TP not hit</t>
        </is>
      </c>
      <c r="G25" t="inlineStr">
        <is>
          <t>Hour filter: blocks server hours 10, 18, 19</t>
        </is>
      </c>
      <c r="H25" t="inlineStr">
        <is>
          <t>THS/THB: instant market, bid/ask vs band, TP=band, thr=4</t>
        </is>
      </c>
    </row>
    <row r="26" ht="34.5" customHeight="1" s="21">
      <c r="A26" s="12" t="inlineStr">
        <is>
          <t>XAU/XAG ratio signal: sell 0.014, buy 0.010, gate 20-bar/0.02</t>
        </is>
      </c>
      <c r="B26" s="12" t="inlineStr">
        <is>
          <t>MA50-Daily filter: ON</t>
        </is>
      </c>
      <c r="C26" s="12" t="inlineStr">
        <is>
          <t>Ratchet trailing, MA50, Vol-spike, hour filter, max 3 signals/day: same as H1</t>
        </is>
      </c>
      <c r="D26" s="12" t="inlineStr">
        <is>
          <t>ADX floor 24, ceiling 40: ON</t>
        </is>
      </c>
      <c r="E26" s="12" t="inlineStr">
        <is>
          <t>Min candle body &gt;= 5 points</t>
        </is>
      </c>
      <c r="G26" t="inlineStr">
        <is>
          <t>Minute-of-hour filter: buy only at :05/:40/:50, sell only at :40</t>
        </is>
      </c>
      <c r="H26" t="inlineStr">
        <is>
          <t>THS2/THB2 addon: limit at bar wick, TP=band, cancel after 1 bar</t>
        </is>
      </c>
    </row>
    <row r="27" ht="34.5" customHeight="1" s="21">
      <c r="A27" s="12" t="inlineStr">
        <is>
          <t>MA50-Daily trend filter: ON</t>
        </is>
      </c>
      <c r="B27" s="12" t="inlineStr">
        <is>
          <t>ADX floor 24, ceiling 40 + reverse-on-ceiling: ON</t>
        </is>
      </c>
      <c r="C27" s="12" t="inlineStr">
        <is>
          <t>Fixed lot 0.01</t>
        </is>
      </c>
      <c r="D27" s="12" t="inlineStr">
        <is>
          <t>Hour filter: blocks server hours 7, 22</t>
        </is>
      </c>
      <c r="E27" s="12" t="inlineStr">
        <is>
          <t>Level-rejection filter: Fib 38.2/50/61.8% + Day High/Low, proximity 8 (OR logic)</t>
        </is>
      </c>
      <c r="G27" t="inlineStr">
        <is>
          <t>No trend/volatility/pre-cross filter (tested, none improved results)</t>
        </is>
      </c>
      <c r="H27" t="inlineStr">
        <is>
          <t>TP re-pegs every bar (EMA frac=0.6 orig, 0.667 addon), no fixed SL</t>
        </is>
      </c>
    </row>
    <row r="28" ht="34.5" customHeight="1" s="21">
      <c r="A28" s="12" t="inlineStr">
        <is>
          <t>Volatility-spike filter: ON</t>
        </is>
      </c>
      <c r="B28" s="12" t="inlineStr">
        <is>
          <t>Volatility-spike filter: ON</t>
        </is>
      </c>
      <c r="C28" s="12" t="n"/>
      <c r="D28" s="12" t="inlineStr">
        <is>
          <t>Max 3 signals/day</t>
        </is>
      </c>
      <c r="E28" s="12" t="inlineStr">
        <is>
          <t>Max 2 signals/day, 2nd only allowed as an immediate streak-continuation (bypass)</t>
        </is>
      </c>
      <c r="G28" t="inlineStr">
        <is>
          <t>Max concurrent M5 positions: unlimited (0)</t>
        </is>
      </c>
      <c r="H28" t="inlineStr">
        <is>
          <t>Addon requires wick AND close both clear threshold (filters noise)</t>
        </is>
      </c>
    </row>
    <row r="29" ht="34.5" customHeight="1" s="21">
      <c r="A29" s="12" t="inlineStr">
        <is>
          <t>News filter (NFP/FOMC/CPI, +/-30min): ON</t>
        </is>
      </c>
      <c r="B29" s="12" t="inlineStr">
        <is>
          <t>Hour filter: blocks server hours 7, 22</t>
        </is>
      </c>
      <c r="C29" s="12" t="n"/>
      <c r="D29" s="12" t="inlineStr">
        <is>
          <t>Fixed lot 0.01</t>
        </is>
      </c>
      <c r="E29" s="12" t="inlineStr">
        <is>
          <t>2nd trade shares the 1st trade's TP; once confirmed, both share SL = midpoint(entry1, entry2)</t>
        </is>
      </c>
      <c r="G29" t="inlineStr">
        <is>
          <t>Fixed lot 0.01</t>
        </is>
      </c>
      <c r="H29" t="inlineStr">
        <is>
          <t>Per-TF isolate switches: H4 orig off, M1 addon off (both underperformed)</t>
        </is>
      </c>
    </row>
    <row r="30">
      <c r="A30" s="12" t="inlineStr">
        <is>
          <t>Max-DD auto-shutoff: 15%</t>
        </is>
      </c>
      <c r="B30" s="12" t="inlineStr">
        <is>
          <t>Max 3 signals/day</t>
        </is>
      </c>
      <c r="C30" s="12" t="n"/>
      <c r="D30" s="12" t="n"/>
      <c r="E30" s="12" t="inlineStr">
        <is>
          <t>MA50-Daily filter: ON</t>
        </is>
      </c>
    </row>
    <row r="31" ht="23" customHeight="1" s="21">
      <c r="A31" s="12" t="inlineStr">
        <is>
          <t>Fixed lot 0.01 (risk-% sizing OFF - tested unstable, causes runaway DD)</t>
        </is>
      </c>
      <c r="B31" s="12" t="inlineStr">
        <is>
          <t>Fixed lot 0.01</t>
        </is>
      </c>
      <c r="C31" s="12" t="n"/>
      <c r="D31" s="12" t="n"/>
      <c r="E31" s="12" t="inlineStr">
        <is>
          <t>Fixed lot 0.01</t>
        </is>
      </c>
    </row>
    <row r="32"/>
    <row r="33"/>
    <row r="34">
      <c r="A34" s="23" t="inlineStr">
        <is>
          <t>Notes:</t>
        </is>
      </c>
    </row>
    <row r="35">
      <c r="A35" s="20" t="inlineStr">
        <is>
          <t>- Expectancy/Trade = WinRate x AvgWin + LossRate x AvgLoss (AvgLoss is negative). Cross-checked: Expectancy x Trades matches Total Net Profit for every bot.</t>
        </is>
      </c>
    </row>
    <row r="36">
      <c r="A36" s="20" t="inlineStr">
        <is>
          <t>- All 5 backtests use the same period, feed, and fixed 0.01 lot for a fair side-by-side comparison.</t>
        </is>
      </c>
    </row>
    <row r="37">
      <c r="A37" s="20" t="inlineStr">
        <is>
          <t>- M15/M5 Scalper are two engines inside the same XAUUSD_M15_Scalper.mq5 file, run separately here (one engine enabled at a time) to isolate each engine's own numbers.</t>
        </is>
      </c>
    </row>
    <row r="38">
      <c r="A38" s="20" t="inlineStr">
        <is>
          <t>- H1/M30 Ratchet are two engines inside XAUUSD_H1_Ratchet_EA_enhanced_v2.mq5, run separately here for the same reason.</t>
        </is>
      </c>
    </row>
    <row r="39">
      <c r="A39" s="20" t="inlineStr">
        <is>
          <t>- Backtest engine: MT5 Strategy Tester, Model=1 (Open prices only) - faster than Every-tick, small variance (a few % on PF/PnL) vs a tick-accurate run should be expected.</t>
        </is>
      </c>
    </row>
    <row r="40">
      <c r="A40" s="20" t="inlineStr">
        <is>
          <t>- Naive sum of all 5 bots' Avg $/Day is NOT a validated combined number - running them simultaneously was never tested end-to-end and their signals are not fully independent (measured ~71% day-overlap between H1 and M30 earlier in this project).</t>
        </is>
      </c>
    </row>
    <row r="41">
      <c r="A41" s="20" t="inlineStr">
        <is>
          <t>- EMA/BB Cross (M5) hour/minute filter validated via walk-forward (180d train / 60d test, rolled 60d, 13 folds, rule re-derived fresh each fold): pooled out-of-sample n=1377, WR=37.91%, PF=1.099, net=+$423 -- 10/13 folds profitable. The PF=1.2215/net=$1,175 in the table above is a single in-sample fit on the full period and is optimistic; walk-forward PF~1.10 is the more realistic expectation for live use.</t>
        </is>
      </c>
    </row>
    <row r="42">
      <c r="A42" s="20" t="inlineStr">
        <is>
          <t>- A plain 70/30 chronological split (train on first 70%, test blind on last 30%) failed for this same filter (out-of-sample PF=0.970, net=-$51) -- walk-forward's rolling multi-fold average is the more reliable read since a single split is itself high-variance.</t>
        </is>
      </c>
    </row>
    <row r="43">
      <c r="A43" s="20" t="inlineStr">
        <is>
          <t>- Permutation test (5000 shuffles of trade outcomes against the fixed hour/minute rule): actual PF=1.2215 exceeded every one of the 5000 random draws (p=0.00000, null median PF=0.980) -- confirms the FIXED rule isn't random noise, but does not by itself prove the rule-discovery process (searching many hour/minute combos) is free of overfitting; the walk-forward result above is what actually tests that.</t>
        </is>
      </c>
    </row>
    <row r="44">
      <c r="A44" t="inlineStr">
        <is>
          <t>BB.mq5: no fixed TP/SL -- TP chases toward latest close each bar (EMA),</t>
        </is>
      </c>
    </row>
    <row r="45">
      <c r="A45" t="inlineStr">
        <is>
          <t>closing the unbounded-loss failure mode a static TP had on trends.</t>
        </is>
      </c>
    </row>
    <row r="46">
      <c r="A46" t="inlineStr">
        <is>
          <t>Validated via 70/30 split + 3-window walk-forward + permutation test</t>
        </is>
      </c>
    </row>
    <row r="47">
      <c r="A47" t="inlineStr">
        <is>
          <t>(drawdown clusters on correlated multi-TF entries during shared moves,</t>
        </is>
      </c>
    </row>
    <row r="48">
      <c r="A48" t="inlineStr">
        <is>
          <t>confirmed structural via permutation, not a fragile-edge symptom).</t>
        </is>
      </c>
    </row>
  </sheetData>
  <mergeCells count="9">
    <mergeCell ref="A38:F38"/>
    <mergeCell ref="A2:F2"/>
    <mergeCell ref="A36:F36"/>
    <mergeCell ref="A1:F1"/>
    <mergeCell ref="A37:F37"/>
    <mergeCell ref="A40:F40"/>
    <mergeCell ref="A34:F34"/>
    <mergeCell ref="A35:F35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2026-09-10T09:53:43Z</dcterms:created>
  <dcterms:modified xmlns:dcterms="http://purl.org/dc/terms/" xmlns:xsi="http://www.w3.org/2001/XMLSchema-instance" xsi:type="dcterms:W3CDTF">2026-09-10T22:18:22Z</dcterms:modified>
  <cp:lastModifiedBy>La Ngân</cp:lastModifiedBy>
</cp:coreProperties>
</file>