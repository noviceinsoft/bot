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athu\Downloads\G\bot\reports\"/>
    </mc:Choice>
  </mc:AlternateContent>
  <xr:revisionPtr revIDLastSave="0" documentId="13_ncr:1_{1D39996E-C5C8-473D-B60A-2444D2D6D0A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Bot Comparison" sheetId="1" r:id="rId1"/>
  </sheets>
  <calcPr calcId="181029"/>
</workbook>
</file>

<file path=xl/calcChain.xml><?xml version="1.0" encoding="utf-8"?>
<calcChain xmlns="http://schemas.openxmlformats.org/spreadsheetml/2006/main">
  <c r="G19" i="1" l="1"/>
  <c r="F19" i="1"/>
  <c r="E19" i="1"/>
  <c r="D19" i="1"/>
  <c r="C19" i="1"/>
  <c r="B19" i="1"/>
  <c r="G18" i="1"/>
  <c r="F18" i="1"/>
  <c r="E18" i="1"/>
  <c r="D18" i="1"/>
  <c r="C18" i="1"/>
  <c r="B18" i="1"/>
  <c r="E12" i="1"/>
  <c r="C12" i="1"/>
  <c r="G9" i="1"/>
  <c r="G12" i="1" s="1"/>
  <c r="F9" i="1"/>
  <c r="F12" i="1" s="1"/>
  <c r="E9" i="1"/>
  <c r="D9" i="1"/>
  <c r="D12" i="1" s="1"/>
  <c r="C9" i="1"/>
  <c r="B9" i="1"/>
  <c r="B12" i="1" s="1"/>
</calcChain>
</file>

<file path=xl/sharedStrings.xml><?xml version="1.0" encoding="utf-8"?>
<sst xmlns="http://schemas.openxmlformats.org/spreadsheetml/2006/main" count="78" uniqueCount="63">
  <si>
    <t>XAUUSD Bot Portfolio - Backtest Comparison</t>
  </si>
  <si>
    <t>Backtest period: 2024.01.01 - 2026.09.09 (982 days) - Real MT5 Strategy Tester, fixed lot 0.01, Model=Open prices (Model=1)</t>
  </si>
  <si>
    <t>Metric</t>
  </si>
  <si>
    <t>RegimeBot (H1)</t>
  </si>
  <si>
    <t>H1 Ratchet</t>
  </si>
  <si>
    <t>M30 Ratchet</t>
  </si>
  <si>
    <t>M15 Scalper</t>
  </si>
  <si>
    <t>M5 Scalper</t>
  </si>
  <si>
    <t>EMA/BB Cross (M5)</t>
  </si>
  <si>
    <t>Total Net Profit ($)</t>
  </si>
  <si>
    <t>Profit Factor</t>
  </si>
  <si>
    <t>Total Trades</t>
  </si>
  <si>
    <t>Win Rate (%)</t>
  </si>
  <si>
    <t>Loss Rate (%)</t>
  </si>
  <si>
    <t>Average Win ($)</t>
  </si>
  <si>
    <t>Average Loss ($)</t>
  </si>
  <si>
    <t>Expectancy per Trade ($)</t>
  </si>
  <si>
    <t>Balance Drawdown Max ($)</t>
  </si>
  <si>
    <t>Balance Drawdown Max (%)</t>
  </si>
  <si>
    <t>Equity (Floating) Drawdown Max ($)</t>
  </si>
  <si>
    <t>Equity (Floating) Drawdown Max (%)</t>
  </si>
  <si>
    <t>Backtest Days</t>
  </si>
  <si>
    <t>Avg $/Day</t>
  </si>
  <si>
    <t>Avg Trades/Day</t>
  </si>
  <si>
    <t>Best (Default) Config per Bot</t>
  </si>
  <si>
    <t>ADX Trend/Range thresh: 24 / 14</t>
  </si>
  <si>
    <t>SL 25 / ratchet-trailing TP (fib, min dist 20)</t>
  </si>
  <si>
    <t>Same engine/file as H1 Ratchet, M30 timeframe slot</t>
  </si>
  <si>
    <t>SL 12 / TP 45 fixed</t>
  </si>
  <si>
    <t>No-SL on the 1st trade of the day; TP 15 fixed</t>
  </si>
  <si>
    <t>EMA(20) crosses BB(20,2.0) mid -&gt; instant market buy/sell, SL 5 / TP 9 (real price distance, broker-independent)</t>
  </si>
  <si>
    <t>Momentum buy/sell thresh: 1.5 / 2.0</t>
  </si>
  <si>
    <t>Trailing: start 25, lock 10, gap-trigger 3, SL/TP step 1.5/1.0</t>
  </si>
  <si>
    <t>SL 20, ADX floor 20 (own values; shares MA50/Vol/hour/max-signal settings above)</t>
  </si>
  <si>
    <t>MA50-Daily filter: ON</t>
  </si>
  <si>
    <t>Hard-close after 4 hours if TP not hit</t>
  </si>
  <si>
    <t>Hour filter: blocks server hours 10, 18, 19</t>
  </si>
  <si>
    <t>XAU/XAG ratio signal: sell 0.014, buy 0.010, gate 20-bar/0.02</t>
  </si>
  <si>
    <t>Ratchet trailing, MA50, Vol-spike, hour filter, max 3 signals/day: same as H1</t>
  </si>
  <si>
    <t>ADX floor 24, ceiling 40: ON</t>
  </si>
  <si>
    <t>Min candle body &gt;= 5 points</t>
  </si>
  <si>
    <t>Minute-of-hour filter: buy only at :05/:40/:50, sell only at :40</t>
  </si>
  <si>
    <t>MA50-Daily trend filter: ON</t>
  </si>
  <si>
    <t>ADX floor 24, ceiling 40 + reverse-on-ceiling: ON</t>
  </si>
  <si>
    <t>Fixed lot 0.01</t>
  </si>
  <si>
    <t>Hour filter: blocks server hours 7, 22</t>
  </si>
  <si>
    <t>Level-rejection filter: Fib 38.2/50/61.8% + Day High/Low, proximity 8 (OR logic)</t>
  </si>
  <si>
    <t>No trend/volatility/pre-cross filter (tested, none improved results)</t>
  </si>
  <si>
    <t>Volatility-spike filter: ON</t>
  </si>
  <si>
    <t>Max 3 signals/day</t>
  </si>
  <si>
    <t>Max 2 signals/day, 2nd only allowed as an immediate streak-continuation (bypass)</t>
  </si>
  <si>
    <t>Max concurrent M5 positions: unlimited (0)</t>
  </si>
  <si>
    <t>News filter (NFP/FOMC/CPI, +/-30min): ON</t>
  </si>
  <si>
    <t>2nd trade shares the 1st trade's TP; once confirmed, both share SL = midpoint(entry1, entry2)</t>
  </si>
  <si>
    <t>Max-DD auto-shutoff: 15%</t>
  </si>
  <si>
    <t>Fixed lot 0.01 (risk-% sizing OFF - tested unstable, causes runaway DD)</t>
  </si>
  <si>
    <t>Notes:</t>
  </si>
  <si>
    <t>- Expectancy/Trade = WinRate x AvgWin + LossRate x AvgLoss (AvgLoss is negative). Cross-checked: Expectancy x Trades matches Total Net Profit for every bot.</t>
  </si>
  <si>
    <t>- All 5 backtests use the same period, feed, and fixed 0.01 lot for a fair side-by-side comparison.</t>
  </si>
  <si>
    <t>- M15/M5 Scalper are two engines inside the same XAUUSD_M15_Scalper.mq5 file, run separately here (one engine enabled at a time) to isolate each engine's own numbers.</t>
  </si>
  <si>
    <t>- H1/M30 Ratchet are two engines inside XAUUSD_H1_Ratchet_EA_enhanced_v2.mq5, run separately here for the same reason.</t>
  </si>
  <si>
    <t>- Backtest engine: MT5 Strategy Tester, Model=1 (Open prices only) - faster than Every-tick, small variance (a few % on PF/PnL) vs a tick-accurate run should be expected.</t>
  </si>
  <si>
    <t>- Naive sum of all 5 bots' Avg $/Day is NOT a validated combined number - running them simultaneously was never tested end-to-end and their signals are not fully independent (measured ~71% day-overlap between H1 and M30 earlier in this project).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</si>
</sst>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9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55555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b/>
      <sz val="12"/>
      <name val="Arial"/>
    </font>
    <font>
      <sz val="9"/>
      <name val="Arial"/>
    </font>
    <font>
      <b/>
      <sz val="9"/>
      <color rgb="FF555555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0" fontId="4" fillId="3" borderId="1" xfId="0" applyFont="1" applyFill="1" applyBorder="1"/>
    <xf numFmtId="164" fontId="4" fillId="3" borderId="1" xfId="0" applyNumberFormat="1" applyFont="1" applyFill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0" fontId="6" fillId="0" borderId="0" xfId="0" applyFont="1"/>
    <xf numFmtId="0" fontId="3" fillId="2" borderId="1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left" vertical="top" wrapText="1"/>
    </xf>
    <xf numFmtId="0" fontId="3" fillId="0" borderId="0" xfId="0" applyFont="1"/>
    <xf numFmtId="164" fontId="5" fillId="0" borderId="0" xfId="0" applyNumberFormat="1" applyFont="1"/>
    <xf numFmtId="2" fontId="5" fillId="0" borderId="0" xfId="0" applyNumberFormat="1" applyFont="1"/>
    <xf numFmtId="3" fontId="5" fillId="0" borderId="0" xfId="0" applyNumberFormat="1" applyFont="1"/>
    <xf numFmtId="165" fontId="5" fillId="0" borderId="0" xfId="0" applyNumberFormat="1" applyFont="1"/>
    <xf numFmtId="164" fontId="4" fillId="0" borderId="0" xfId="0" applyNumberFormat="1" applyFont="1"/>
    <xf numFmtId="10" fontId="5" fillId="0" borderId="0" xfId="0" applyNumberFormat="1" applyFont="1"/>
    <xf numFmtId="0" fontId="2" fillId="0" borderId="0" xfId="0" applyFont="1"/>
    <xf numFmtId="0" fontId="0" fillId="0" borderId="0" xfId="0"/>
    <xf numFmtId="0" fontId="1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tabSelected="1" workbookViewId="0">
      <pane xSplit="1" ySplit="4" topLeftCell="B5" activePane="bottomRight" state="frozen"/>
      <selection pane="topRight"/>
      <selection pane="bottomLeft"/>
      <selection pane="bottomRight" sqref="A1:F1"/>
    </sheetView>
  </sheetViews>
  <sheetFormatPr defaultRowHeight="14.5" x14ac:dyDescent="0.35"/>
  <cols>
    <col min="1" max="1" width="30" customWidth="1"/>
    <col min="2" max="5" width="28" customWidth="1"/>
    <col min="6" max="6" width="16" customWidth="1"/>
  </cols>
  <sheetData>
    <row r="1" spans="1:7" ht="18" x14ac:dyDescent="0.4">
      <c r="A1" s="22" t="s">
        <v>0</v>
      </c>
      <c r="B1" s="21"/>
      <c r="C1" s="21"/>
      <c r="D1" s="21"/>
      <c r="E1" s="21"/>
      <c r="F1" s="21"/>
    </row>
    <row r="2" spans="1:7" x14ac:dyDescent="0.35">
      <c r="A2" s="20" t="s">
        <v>1</v>
      </c>
      <c r="B2" s="21"/>
      <c r="C2" s="21"/>
      <c r="D2" s="21"/>
      <c r="E2" s="21"/>
      <c r="F2" s="21"/>
    </row>
    <row r="4" spans="1:7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3" t="s">
        <v>8</v>
      </c>
    </row>
    <row r="5" spans="1:7" x14ac:dyDescent="0.35">
      <c r="A5" s="2" t="s">
        <v>9</v>
      </c>
      <c r="B5" s="3">
        <v>2744.24</v>
      </c>
      <c r="C5" s="3">
        <v>1689.42</v>
      </c>
      <c r="D5" s="3">
        <v>3015.39</v>
      </c>
      <c r="E5" s="3">
        <v>5035.78</v>
      </c>
      <c r="F5" s="3">
        <v>1647.24</v>
      </c>
      <c r="G5" s="14">
        <v>1175</v>
      </c>
    </row>
    <row r="6" spans="1:7" x14ac:dyDescent="0.35">
      <c r="A6" s="2" t="s">
        <v>10</v>
      </c>
      <c r="B6" s="4">
        <v>1.41</v>
      </c>
      <c r="C6" s="4">
        <v>1.25</v>
      </c>
      <c r="D6" s="4">
        <v>1.24</v>
      </c>
      <c r="E6" s="4">
        <v>1.36</v>
      </c>
      <c r="F6" s="4">
        <v>2.17</v>
      </c>
      <c r="G6" s="15">
        <v>1.2215</v>
      </c>
    </row>
    <row r="7" spans="1:7" x14ac:dyDescent="0.35">
      <c r="A7" s="2" t="s">
        <v>11</v>
      </c>
      <c r="B7" s="5">
        <v>560</v>
      </c>
      <c r="C7" s="5">
        <v>629</v>
      </c>
      <c r="D7" s="5">
        <v>1282</v>
      </c>
      <c r="E7" s="5">
        <v>1602</v>
      </c>
      <c r="F7" s="5">
        <v>373</v>
      </c>
      <c r="G7" s="16">
        <v>1781</v>
      </c>
    </row>
    <row r="8" spans="1:7" x14ac:dyDescent="0.35">
      <c r="A8" s="2" t="s">
        <v>12</v>
      </c>
      <c r="B8" s="6">
        <v>0.46250000000000002</v>
      </c>
      <c r="C8" s="6">
        <v>0.56599999999999995</v>
      </c>
      <c r="D8" s="6">
        <v>0.5101</v>
      </c>
      <c r="E8" s="6">
        <v>0.26719999999999999</v>
      </c>
      <c r="F8" s="6">
        <v>0.67830000000000001</v>
      </c>
      <c r="G8" s="17">
        <v>0.40429999999999999</v>
      </c>
    </row>
    <row r="9" spans="1:7" x14ac:dyDescent="0.35">
      <c r="A9" s="2" t="s">
        <v>13</v>
      </c>
      <c r="B9" s="6">
        <f t="shared" ref="B9:G9" si="0">1-B8</f>
        <v>0.53749999999999998</v>
      </c>
      <c r="C9" s="6">
        <f t="shared" si="0"/>
        <v>0.43400000000000005</v>
      </c>
      <c r="D9" s="6">
        <f t="shared" si="0"/>
        <v>0.4899</v>
      </c>
      <c r="E9" s="6">
        <f t="shared" si="0"/>
        <v>0.73280000000000001</v>
      </c>
      <c r="F9" s="6">
        <f t="shared" si="0"/>
        <v>0.32169999999999999</v>
      </c>
      <c r="G9" s="17">
        <f t="shared" si="0"/>
        <v>0.59570000000000001</v>
      </c>
    </row>
    <row r="10" spans="1:7" x14ac:dyDescent="0.35">
      <c r="A10" s="2" t="s">
        <v>14</v>
      </c>
      <c r="B10" s="3">
        <v>36.58</v>
      </c>
      <c r="C10" s="3">
        <v>23.99</v>
      </c>
      <c r="D10" s="3">
        <v>23.88</v>
      </c>
      <c r="E10" s="3">
        <v>44.84</v>
      </c>
      <c r="F10" s="3">
        <v>12.07</v>
      </c>
      <c r="G10" s="14">
        <v>9</v>
      </c>
    </row>
    <row r="11" spans="1:7" x14ac:dyDescent="0.35">
      <c r="A11" s="2" t="s">
        <v>15</v>
      </c>
      <c r="B11" s="3">
        <v>-22.36</v>
      </c>
      <c r="C11" s="3">
        <v>-25.1</v>
      </c>
      <c r="D11" s="3">
        <v>-20.07</v>
      </c>
      <c r="E11" s="3">
        <v>-12.06</v>
      </c>
      <c r="F11" s="3">
        <v>-11.71</v>
      </c>
      <c r="G11" s="14">
        <v>-5</v>
      </c>
    </row>
    <row r="12" spans="1:7" x14ac:dyDescent="0.35">
      <c r="A12" s="7" t="s">
        <v>16</v>
      </c>
      <c r="B12" s="8">
        <f t="shared" ref="B12:G12" si="1">B8*B10+B9*B11</f>
        <v>4.8997500000000009</v>
      </c>
      <c r="C12" s="8">
        <f t="shared" si="1"/>
        <v>2.6849399999999957</v>
      </c>
      <c r="D12" s="8">
        <f t="shared" si="1"/>
        <v>2.3488949999999988</v>
      </c>
      <c r="E12" s="8">
        <f t="shared" si="1"/>
        <v>3.1436799999999998</v>
      </c>
      <c r="F12" s="8">
        <f t="shared" si="1"/>
        <v>4.4199740000000007</v>
      </c>
      <c r="G12" s="18">
        <f t="shared" si="1"/>
        <v>0.66020000000000012</v>
      </c>
    </row>
    <row r="13" spans="1:7" x14ac:dyDescent="0.35">
      <c r="A13" s="2" t="s">
        <v>17</v>
      </c>
      <c r="B13" s="3">
        <v>317.8</v>
      </c>
      <c r="C13" s="3">
        <v>327.04000000000002</v>
      </c>
      <c r="D13" s="3">
        <v>521.33000000000004</v>
      </c>
      <c r="E13" s="3">
        <v>549.1</v>
      </c>
      <c r="F13" s="3">
        <v>105.92</v>
      </c>
      <c r="G13" s="14">
        <v>132</v>
      </c>
    </row>
    <row r="14" spans="1:7" x14ac:dyDescent="0.35">
      <c r="A14" s="2" t="s">
        <v>18</v>
      </c>
      <c r="B14" s="9">
        <v>2.9499999999999998E-2</v>
      </c>
      <c r="C14" s="9">
        <v>2.98E-2</v>
      </c>
      <c r="D14" s="9">
        <v>4.6600000000000003E-2</v>
      </c>
      <c r="E14" s="9">
        <v>3.8800000000000001E-2</v>
      </c>
      <c r="F14" s="9">
        <v>1.01E-2</v>
      </c>
      <c r="G14" s="19">
        <v>1.18E-2</v>
      </c>
    </row>
    <row r="15" spans="1:7" x14ac:dyDescent="0.35">
      <c r="A15" s="2" t="s">
        <v>19</v>
      </c>
      <c r="B15" s="3">
        <v>390.38</v>
      </c>
      <c r="C15" s="3">
        <v>367.97</v>
      </c>
      <c r="D15" s="3">
        <v>537.08000000000004</v>
      </c>
      <c r="E15" s="3">
        <v>581.59</v>
      </c>
      <c r="F15" s="3">
        <v>117.73</v>
      </c>
      <c r="G15" s="14">
        <v>132</v>
      </c>
    </row>
    <row r="16" spans="1:7" x14ac:dyDescent="0.35">
      <c r="A16" s="2" t="s">
        <v>20</v>
      </c>
      <c r="B16" s="9">
        <v>3.2300000000000002E-2</v>
      </c>
      <c r="C16" s="9">
        <v>3.3500000000000002E-2</v>
      </c>
      <c r="D16" s="9">
        <v>4.8000000000000001E-2</v>
      </c>
      <c r="E16" s="9">
        <v>5.79E-2</v>
      </c>
      <c r="F16" s="9">
        <v>1.06E-2</v>
      </c>
      <c r="G16" s="19">
        <v>1.18E-2</v>
      </c>
    </row>
    <row r="17" spans="1:7" x14ac:dyDescent="0.35">
      <c r="A17" s="2" t="s">
        <v>21</v>
      </c>
      <c r="B17" s="5">
        <v>982</v>
      </c>
      <c r="C17" s="5">
        <v>982</v>
      </c>
      <c r="D17" s="5">
        <v>982</v>
      </c>
      <c r="E17" s="5">
        <v>982</v>
      </c>
      <c r="F17" s="5">
        <v>982</v>
      </c>
      <c r="G17" s="16">
        <v>982</v>
      </c>
    </row>
    <row r="18" spans="1:7" x14ac:dyDescent="0.35">
      <c r="A18" s="7" t="s">
        <v>22</v>
      </c>
      <c r="B18" s="8">
        <f t="shared" ref="B18:G18" si="2">B5/B17</f>
        <v>2.7945417515274946</v>
      </c>
      <c r="C18" s="8">
        <f t="shared" si="2"/>
        <v>1.7203869653767823</v>
      </c>
      <c r="D18" s="8">
        <f t="shared" si="2"/>
        <v>3.0706619144602851</v>
      </c>
      <c r="E18" s="8">
        <f t="shared" si="2"/>
        <v>5.128085539714867</v>
      </c>
      <c r="F18" s="8">
        <f t="shared" si="2"/>
        <v>1.6774338085539715</v>
      </c>
      <c r="G18" s="18">
        <f t="shared" si="2"/>
        <v>1.1965376782077393</v>
      </c>
    </row>
    <row r="19" spans="1:7" x14ac:dyDescent="0.35">
      <c r="A19" s="2" t="s">
        <v>23</v>
      </c>
      <c r="B19" s="4">
        <f t="shared" ref="B19:G19" si="3">B7/B17</f>
        <v>0.570264765784114</v>
      </c>
      <c r="C19" s="4">
        <f t="shared" si="3"/>
        <v>0.64052953156822812</v>
      </c>
      <c r="D19" s="4">
        <f t="shared" si="3"/>
        <v>1.3054989816700611</v>
      </c>
      <c r="E19" s="4">
        <f t="shared" si="3"/>
        <v>1.6313645621181263</v>
      </c>
      <c r="F19" s="4">
        <f t="shared" si="3"/>
        <v>0.37983706720977595</v>
      </c>
      <c r="G19" s="15">
        <f t="shared" si="3"/>
        <v>1.8136456211812628</v>
      </c>
    </row>
    <row r="22" spans="1:7" ht="15.5" x14ac:dyDescent="0.35">
      <c r="A22" s="10" t="s">
        <v>24</v>
      </c>
    </row>
    <row r="23" spans="1:7" x14ac:dyDescent="0.35">
      <c r="A23" s="11" t="s">
        <v>3</v>
      </c>
      <c r="B23" s="11" t="s">
        <v>4</v>
      </c>
      <c r="C23" s="11" t="s">
        <v>5</v>
      </c>
      <c r="D23" s="11" t="s">
        <v>6</v>
      </c>
      <c r="E23" s="11" t="s">
        <v>7</v>
      </c>
      <c r="G23" t="s">
        <v>8</v>
      </c>
    </row>
    <row r="24" spans="1:7" ht="23" x14ac:dyDescent="0.35">
      <c r="A24" s="12" t="s">
        <v>25</v>
      </c>
      <c r="B24" s="12" t="s">
        <v>26</v>
      </c>
      <c r="C24" s="12" t="s">
        <v>27</v>
      </c>
      <c r="D24" s="12" t="s">
        <v>28</v>
      </c>
      <c r="E24" s="12" t="s">
        <v>29</v>
      </c>
      <c r="G24" t="s">
        <v>30</v>
      </c>
    </row>
    <row r="25" spans="1:7" ht="34.5" x14ac:dyDescent="0.35">
      <c r="A25" s="12" t="s">
        <v>31</v>
      </c>
      <c r="B25" s="12" t="s">
        <v>32</v>
      </c>
      <c r="C25" s="12" t="s">
        <v>33</v>
      </c>
      <c r="D25" s="12" t="s">
        <v>34</v>
      </c>
      <c r="E25" s="12" t="s">
        <v>35</v>
      </c>
      <c r="G25" t="s">
        <v>36</v>
      </c>
    </row>
    <row r="26" spans="1:7" ht="34.5" x14ac:dyDescent="0.35">
      <c r="A26" s="12" t="s">
        <v>37</v>
      </c>
      <c r="B26" s="12" t="s">
        <v>34</v>
      </c>
      <c r="C26" s="12" t="s">
        <v>38</v>
      </c>
      <c r="D26" s="12" t="s">
        <v>39</v>
      </c>
      <c r="E26" s="12" t="s">
        <v>40</v>
      </c>
      <c r="G26" t="s">
        <v>41</v>
      </c>
    </row>
    <row r="27" spans="1:7" ht="34.5" x14ac:dyDescent="0.35">
      <c r="A27" s="12" t="s">
        <v>42</v>
      </c>
      <c r="B27" s="12" t="s">
        <v>43</v>
      </c>
      <c r="C27" s="12" t="s">
        <v>44</v>
      </c>
      <c r="D27" s="12" t="s">
        <v>45</v>
      </c>
      <c r="E27" s="12" t="s">
        <v>46</v>
      </c>
      <c r="G27" t="s">
        <v>47</v>
      </c>
    </row>
    <row r="28" spans="1:7" ht="34.5" x14ac:dyDescent="0.35">
      <c r="A28" s="12" t="s">
        <v>48</v>
      </c>
      <c r="B28" s="12" t="s">
        <v>48</v>
      </c>
      <c r="C28" s="12"/>
      <c r="D28" s="12" t="s">
        <v>49</v>
      </c>
      <c r="E28" s="12" t="s">
        <v>50</v>
      </c>
      <c r="G28" t="s">
        <v>51</v>
      </c>
    </row>
    <row r="29" spans="1:7" ht="34.5" x14ac:dyDescent="0.35">
      <c r="A29" s="12" t="s">
        <v>52</v>
      </c>
      <c r="B29" s="12" t="s">
        <v>45</v>
      </c>
      <c r="C29" s="12"/>
      <c r="D29" s="12" t="s">
        <v>44</v>
      </c>
      <c r="E29" s="12" t="s">
        <v>53</v>
      </c>
      <c r="G29" t="s">
        <v>44</v>
      </c>
    </row>
    <row r="30" spans="1:7" x14ac:dyDescent="0.35">
      <c r="A30" s="12" t="s">
        <v>54</v>
      </c>
      <c r="B30" s="12" t="s">
        <v>49</v>
      </c>
      <c r="C30" s="12"/>
      <c r="D30" s="12"/>
      <c r="E30" s="12" t="s">
        <v>34</v>
      </c>
    </row>
    <row r="31" spans="1:7" ht="23" x14ac:dyDescent="0.35">
      <c r="A31" s="12" t="s">
        <v>55</v>
      </c>
      <c r="B31" s="12" t="s">
        <v>44</v>
      </c>
      <c r="C31" s="12"/>
      <c r="D31" s="12"/>
      <c r="E31" s="12" t="s">
        <v>44</v>
      </c>
    </row>
    <row r="34" spans="1:6" x14ac:dyDescent="0.35">
      <c r="A34" s="23" t="s">
        <v>56</v>
      </c>
      <c r="B34" s="21"/>
      <c r="C34" s="21"/>
      <c r="D34" s="21"/>
      <c r="E34" s="21"/>
      <c r="F34" s="21"/>
    </row>
    <row r="35" spans="1:6" x14ac:dyDescent="0.35">
      <c r="A35" s="20" t="s">
        <v>57</v>
      </c>
      <c r="B35" s="21"/>
      <c r="C35" s="21"/>
      <c r="D35" s="21"/>
      <c r="E35" s="21"/>
      <c r="F35" s="21"/>
    </row>
    <row r="36" spans="1:6" x14ac:dyDescent="0.35">
      <c r="A36" s="20" t="s">
        <v>58</v>
      </c>
      <c r="B36" s="21"/>
      <c r="C36" s="21"/>
      <c r="D36" s="21"/>
      <c r="E36" s="21"/>
      <c r="F36" s="21"/>
    </row>
    <row r="37" spans="1:6" x14ac:dyDescent="0.35">
      <c r="A37" s="20" t="s">
        <v>59</v>
      </c>
      <c r="B37" s="21"/>
      <c r="C37" s="21"/>
      <c r="D37" s="21"/>
      <c r="E37" s="21"/>
      <c r="F37" s="21"/>
    </row>
    <row r="38" spans="1:6" x14ac:dyDescent="0.35">
      <c r="A38" s="20" t="s">
        <v>60</v>
      </c>
      <c r="B38" s="21"/>
      <c r="C38" s="21"/>
      <c r="D38" s="21"/>
      <c r="E38" s="21"/>
      <c r="F38" s="21"/>
    </row>
    <row r="39" spans="1:6" x14ac:dyDescent="0.35">
      <c r="A39" s="20" t="s">
        <v>61</v>
      </c>
      <c r="B39" s="21"/>
      <c r="C39" s="21"/>
      <c r="D39" s="21"/>
      <c r="E39" s="21"/>
      <c r="F39" s="21"/>
    </row>
    <row r="40" spans="1:6" x14ac:dyDescent="0.35">
      <c r="A40" s="20" t="s">
        <v>62</v>
      </c>
      <c r="B40" s="21"/>
      <c r="C40" s="21"/>
      <c r="D40" s="21"/>
      <c r="E40" s="21"/>
      <c r="F40" s="21"/>
    </row>
  </sheetData>
  <mergeCells count="9">
    <mergeCell ref="A40:F40"/>
    <mergeCell ref="A39:F39"/>
    <mergeCell ref="A38:F38"/>
    <mergeCell ref="A2:F2"/>
    <mergeCell ref="A36:F36"/>
    <mergeCell ref="A1:F1"/>
    <mergeCell ref="A37:F37"/>
    <mergeCell ref="A34:F34"/>
    <mergeCell ref="A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Bot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 Ngân</cp:lastModifiedBy>
  <dcterms:created xsi:type="dcterms:W3CDTF">2026-09-10T09:53:43Z</dcterms:created>
  <dcterms:modified xsi:type="dcterms:W3CDTF">2026-09-10T12:38:04Z</dcterms:modified>
</cp:coreProperties>
</file>